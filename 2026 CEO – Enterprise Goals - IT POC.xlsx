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eger.SRIEGER-DEV\Downloads\"/>
    </mc:Choice>
  </mc:AlternateContent>
  <xr:revisionPtr revIDLastSave="0" documentId="8_{A04968AB-BE4F-4C9C-AC8F-17EBAF100B58}" xr6:coauthVersionLast="47" xr6:coauthVersionMax="47" xr10:uidLastSave="{00000000-0000-0000-0000-000000000000}"/>
  <bookViews>
    <workbookView xWindow="-108" yWindow="-108" windowWidth="23256" windowHeight="13896" xr2:uid="{DA760FB6-B9C4-8F48-8776-51A2646E7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</calcChain>
</file>

<file path=xl/sharedStrings.xml><?xml version="1.0" encoding="utf-8"?>
<sst xmlns="http://schemas.openxmlformats.org/spreadsheetml/2006/main" count="71" uniqueCount="54">
  <si>
    <t xml:space="preserve">Financial Results </t>
  </si>
  <si>
    <r>
      <rPr>
        <sz val="14"/>
        <color rgb="FF000000"/>
        <rFont val="Gabarito Medium"/>
      </rPr>
      <t xml:space="preserve">PCMA: </t>
    </r>
    <r>
      <rPr>
        <sz val="14"/>
        <color rgb="FF000000"/>
        <rFont val="Aptos Light"/>
      </rPr>
      <t>Net Profit $705K</t>
    </r>
  </si>
  <si>
    <r>
      <rPr>
        <sz val="14"/>
        <color rgb="FF000000"/>
        <rFont val="Gabarito Medium"/>
      </rPr>
      <t xml:space="preserve">Foundation: </t>
    </r>
    <r>
      <rPr>
        <sz val="14"/>
        <color rgb="FF000000"/>
        <rFont val="Aptos Light"/>
      </rPr>
      <t>Net Profit $937K</t>
    </r>
  </si>
  <si>
    <t>GOAL</t>
  </si>
  <si>
    <t>YTD</t>
  </si>
  <si>
    <t xml:space="preserve">Membership &amp; Audience Growth </t>
  </si>
  <si>
    <r>
      <t>•</t>
    </r>
    <r>
      <rPr>
        <sz val="14"/>
        <color rgb="FF000000"/>
        <rFont val="Gabarito Medium"/>
      </rPr>
      <t xml:space="preserve">Membership: </t>
    </r>
    <r>
      <rPr>
        <sz val="14"/>
        <color rgb="FF000000"/>
        <rFont val="Aptos Light"/>
      </rPr>
      <t>10,000</t>
    </r>
  </si>
  <si>
    <r>
      <t>•</t>
    </r>
    <r>
      <rPr>
        <sz val="14"/>
        <color rgb="FF000000"/>
        <rFont val="Aptos Light"/>
      </rPr>
      <t>10% growth from EMEA, APAC, LATAM</t>
    </r>
  </si>
  <si>
    <r>
      <t>•</t>
    </r>
    <r>
      <rPr>
        <sz val="14"/>
        <color rgb="FF000000"/>
        <rFont val="Aptos Light"/>
      </rPr>
      <t>CL attendance YoY Growth:  5%</t>
    </r>
  </si>
  <si>
    <t>?%</t>
  </si>
  <si>
    <r>
      <t>•</t>
    </r>
    <r>
      <rPr>
        <sz val="14"/>
        <color rgb="FF000000"/>
        <rFont val="Gabarito Medium"/>
      </rPr>
      <t xml:space="preserve">Community: </t>
    </r>
  </si>
  <si>
    <r>
      <t>•</t>
    </r>
    <r>
      <rPr>
        <sz val="14"/>
        <color rgb="FF000000"/>
        <rFont val="Gabarito Medium"/>
      </rPr>
      <t xml:space="preserve">Audience: </t>
    </r>
  </si>
  <si>
    <t>Notes</t>
  </si>
  <si>
    <t>Source Of Data</t>
  </si>
  <si>
    <t>?</t>
  </si>
  <si>
    <t>Education &amp; Product Development</t>
  </si>
  <si>
    <r>
      <t>•</t>
    </r>
    <r>
      <rPr>
        <sz val="14"/>
        <color rgb="FF000000"/>
        <rFont val="Gabarito Medium"/>
      </rPr>
      <t xml:space="preserve">Spark: </t>
    </r>
    <r>
      <rPr>
        <sz val="14"/>
        <color rgb="FF000000"/>
        <rFont val="Aptos Light"/>
      </rPr>
      <t>15,000 subscribers</t>
    </r>
  </si>
  <si>
    <r>
      <t>•</t>
    </r>
    <r>
      <rPr>
        <sz val="14"/>
        <color rgb="FF000000"/>
        <rFont val="Gabarito Medium"/>
      </rPr>
      <t xml:space="preserve">Destinaitor: </t>
    </r>
    <r>
      <rPr>
        <sz val="14"/>
        <color rgb="FF000000"/>
        <rFont val="Aptos Light"/>
      </rPr>
      <t>50 paid enterprise subscribers</t>
    </r>
  </si>
  <si>
    <r>
      <t>•</t>
    </r>
    <r>
      <rPr>
        <sz val="14"/>
        <color rgb="FF000000"/>
        <rFont val="Gabarito Medium"/>
      </rPr>
      <t xml:space="preserve">Convene 4 Climate: </t>
    </r>
  </si>
  <si>
    <r>
      <t>•</t>
    </r>
    <r>
      <rPr>
        <sz val="14"/>
        <color rgb="FF000000"/>
        <rFont val="Aptos Light"/>
      </rPr>
      <t>Launch global sustainability competition with minimum of two (2) awards in 2026</t>
    </r>
  </si>
  <si>
    <r>
      <t>•</t>
    </r>
    <r>
      <rPr>
        <sz val="14"/>
        <color rgb="FF000000"/>
        <rFont val="Aptos Light"/>
      </rPr>
      <t>Launch C4C Advisory Board</t>
    </r>
  </si>
  <si>
    <r>
      <t>•</t>
    </r>
    <r>
      <rPr>
        <sz val="14"/>
        <color rgb="FF000000"/>
        <rFont val="Gabarito Medium"/>
      </rPr>
      <t xml:space="preserve">Learning: </t>
    </r>
    <r>
      <rPr>
        <sz val="14"/>
        <color rgb="FF000000"/>
        <rFont val="Aptos Light"/>
      </rPr>
      <t>2,000 unique learning product participants</t>
    </r>
  </si>
  <si>
    <r>
      <t>•</t>
    </r>
    <r>
      <rPr>
        <sz val="14"/>
        <color rgb="FF000000"/>
        <rFont val="Gabarito Medium"/>
      </rPr>
      <t xml:space="preserve">Other Products: </t>
    </r>
    <r>
      <rPr>
        <sz val="14"/>
        <color rgb="FF000000"/>
        <rFont val="Aptos Light"/>
      </rPr>
      <t xml:space="preserve">7,500 digital-only Convene subscriptions </t>
    </r>
  </si>
  <si>
    <t>BE The Future Endowment Campaign</t>
  </si>
  <si>
    <r>
      <t>•</t>
    </r>
    <r>
      <rPr>
        <sz val="14"/>
        <color rgb="FF000000"/>
        <rFont val="Aptos Light"/>
      </rPr>
      <t>Raise 1M$ by end of 2026</t>
    </r>
  </si>
  <si>
    <t>Chantal</t>
  </si>
  <si>
    <t>Salesforce</t>
  </si>
  <si>
    <t>Manual</t>
  </si>
  <si>
    <t>Manual / Maybe dynamic</t>
  </si>
  <si>
    <t xml:space="preserve">Manual - Irina? </t>
  </si>
  <si>
    <t>Internal/Organizational Leadership</t>
  </si>
  <si>
    <r>
      <t>•</t>
    </r>
    <r>
      <rPr>
        <sz val="14"/>
        <color rgb="FF000000"/>
        <rFont val="Gabarito Medium"/>
      </rPr>
      <t xml:space="preserve">Turnover &amp; Retention: </t>
    </r>
    <r>
      <rPr>
        <sz val="14"/>
        <color rgb="FF000000"/>
        <rFont val="Aptos Light"/>
      </rPr>
      <t xml:space="preserve">Keep voluntary turnover </t>
    </r>
    <r>
      <rPr>
        <u/>
        <sz val="14"/>
        <color rgb="FF000000"/>
        <rFont val="Aptos Light"/>
      </rPr>
      <t>below</t>
    </r>
    <r>
      <rPr>
        <sz val="14"/>
        <color rgb="FF000000"/>
        <rFont val="Aptos Light"/>
      </rPr>
      <t xml:space="preserve"> 20%</t>
    </r>
  </si>
  <si>
    <r>
      <t>•</t>
    </r>
    <r>
      <rPr>
        <sz val="14"/>
        <color rgb="FF000000"/>
        <rFont val="Gabarito Medium"/>
      </rPr>
      <t xml:space="preserve">Engagement: </t>
    </r>
    <r>
      <rPr>
        <sz val="14"/>
        <color rgb="FF000000"/>
        <rFont val="Aptos Light"/>
      </rPr>
      <t>Maintain or improve score of 77%</t>
    </r>
  </si>
  <si>
    <r>
      <t>•</t>
    </r>
    <r>
      <rPr>
        <sz val="14"/>
        <color rgb="FF000000"/>
        <rFont val="Gabarito Medium"/>
      </rPr>
      <t xml:space="preserve">Data &amp; Technology: </t>
    </r>
    <r>
      <rPr>
        <sz val="14"/>
        <color rgb="FF000000"/>
        <rFont val="Aptos Light"/>
      </rPr>
      <t>Six data/technology improvements to enhance UX and insights</t>
    </r>
  </si>
  <si>
    <t>&lt; 20%</t>
  </si>
  <si>
    <t>&gt; 77%</t>
  </si>
  <si>
    <t>Checklist</t>
  </si>
  <si>
    <r>
      <t>🟢</t>
    </r>
    <r>
      <rPr>
        <sz val="10"/>
        <color rgb="FF000000"/>
        <rFont val="Aptos Light"/>
      </rPr>
      <t xml:space="preserve"> Dashboards &amp; Reporting </t>
    </r>
  </si>
  <si>
    <t xml:space="preserve">   🟣 Standardized Data Management </t>
  </si>
  <si>
    <t xml:space="preserve">   🟢 Process Mapping &amp; Marketing </t>
  </si>
  <si>
    <t xml:space="preserve">   🟣 System Simplification </t>
  </si>
  <si>
    <t xml:space="preserve">   🟢 Training &amp; Enablement </t>
  </si>
  <si>
    <t xml:space="preserve">   🟣 AI &amp; Automation </t>
  </si>
  <si>
    <t>Kim</t>
  </si>
  <si>
    <t>Manual or API</t>
  </si>
  <si>
    <t>API</t>
  </si>
  <si>
    <t>Events</t>
  </si>
  <si>
    <t>??API</t>
  </si>
  <si>
    <t>Quite Phase</t>
  </si>
  <si>
    <t>Tonya</t>
  </si>
  <si>
    <t>Tammy</t>
  </si>
  <si>
    <t>Irina</t>
  </si>
  <si>
    <t>Gina</t>
  </si>
  <si>
    <t xml:space="preserve">Gina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</si>
</sst>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6"/>
      <color rgb="FF000000"/>
      <name val="Gabarito"/>
    </font>
    <font>
      <sz val="14"/>
      <color theme="1"/>
      <name val="Arial"/>
      <family val="2"/>
    </font>
    <font>
      <sz val="14"/>
      <color rgb="FF000000"/>
      <name val="Gabarito Medium"/>
    </font>
    <font>
      <sz val="14"/>
      <color rgb="FF000000"/>
      <name val="Aptos Light"/>
    </font>
    <font>
      <sz val="14"/>
      <color rgb="FF000000"/>
      <name val="Arial"/>
      <family val="2"/>
    </font>
    <font>
      <b/>
      <sz val="12"/>
      <color theme="1"/>
      <name val="Aptos Narrow"/>
      <scheme val="minor"/>
    </font>
    <font>
      <u/>
      <sz val="14"/>
      <color rgb="FF000000"/>
      <name val="Aptos Light"/>
    </font>
    <font>
      <sz val="10"/>
      <color rgb="FF000000"/>
      <name val="Times New Roman"/>
      <family val="1"/>
    </font>
    <font>
      <sz val="10"/>
      <color rgb="FF000000"/>
      <name val="Aptos Light"/>
    </font>
    <font>
      <sz val="12"/>
      <color theme="1"/>
      <name val="Aptos Display"/>
      <scheme val="major"/>
    </font>
    <font>
      <sz val="12"/>
      <color rgb="FF000000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indent="3" readingOrder="1"/>
    </xf>
    <xf numFmtId="0" fontId="5" fillId="0" borderId="0" xfId="0" applyFont="1" applyAlignment="1">
      <alignment horizontal="left" vertical="center" indent="3" readingOrder="1"/>
    </xf>
    <xf numFmtId="0" fontId="2" fillId="0" borderId="0" xfId="0" applyFont="1" applyAlignment="1">
      <alignment horizontal="left" vertical="center" indent="9" readingOrder="1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center" readingOrder="1"/>
    </xf>
    <xf numFmtId="0" fontId="10" fillId="0" borderId="0" xfId="0" applyFont="1"/>
    <xf numFmtId="0" fontId="10" fillId="0" borderId="0" xfId="0" applyFont="1" applyAlignment="1">
      <alignment horizontal="right"/>
    </xf>
    <xf numFmtId="3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quotePrefix="1" applyFont="1"/>
    <xf numFmtId="3" fontId="11" fillId="0" borderId="0" xfId="0" applyNumberFormat="1" applyFont="1"/>
    <xf numFmtId="9" fontId="6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right"/>
    </xf>
    <xf numFmtId="3" fontId="10" fillId="2" borderId="0" xfId="0" applyNumberFormat="1" applyFont="1" applyFill="1" applyAlignment="1">
      <alignment horizontal="right"/>
    </xf>
    <xf numFmtId="3" fontId="11" fillId="2" borderId="0" xfId="0" applyNumberFormat="1" applyFont="1" applyFill="1" applyAlignment="1">
      <alignment horizontal="right"/>
    </xf>
    <xf numFmtId="9" fontId="10" fillId="2" borderId="0" xfId="0" applyNumberFormat="1" applyFont="1" applyFill="1" applyAlignment="1">
      <alignment horizontal="right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FAAD-AC4F-BC48-889D-546CB6121684}">
  <dimension ref="A1:G28"/>
  <sheetViews>
    <sheetView tabSelected="1" workbookViewId="0">
      <selection activeCell="E22" sqref="E22"/>
    </sheetView>
  </sheetViews>
  <sheetFormatPr defaultColWidth="11.19921875" defaultRowHeight="15.6"/>
  <cols>
    <col min="1" max="1" width="15.796875" style="7" customWidth="1"/>
    <col min="2" max="2" width="113.5" customWidth="1"/>
    <col min="4" max="4" width="11.19921875" style="7" bestFit="1" customWidth="1"/>
    <col min="5" max="5" width="6.19921875" bestFit="1" customWidth="1"/>
    <col min="6" max="6" width="13.5" bestFit="1" customWidth="1"/>
  </cols>
  <sheetData>
    <row r="1" spans="1:7" ht="21">
      <c r="A1" s="21">
        <v>0.2</v>
      </c>
      <c r="B1" s="1" t="s">
        <v>0</v>
      </c>
      <c r="C1" s="5" t="s">
        <v>3</v>
      </c>
      <c r="D1" s="6" t="s">
        <v>4</v>
      </c>
      <c r="E1" s="5" t="s">
        <v>12</v>
      </c>
      <c r="F1" s="5" t="s">
        <v>13</v>
      </c>
      <c r="G1" s="5" t="s">
        <v>44</v>
      </c>
    </row>
    <row r="2" spans="1:7" ht="18">
      <c r="A2" s="21"/>
      <c r="B2" s="3" t="s">
        <v>1</v>
      </c>
      <c r="C2" s="10">
        <v>705</v>
      </c>
      <c r="D2" s="17">
        <v>125000</v>
      </c>
      <c r="F2" t="s">
        <v>43</v>
      </c>
      <c r="G2" t="s">
        <v>27</v>
      </c>
    </row>
    <row r="3" spans="1:7" ht="18">
      <c r="A3" s="21"/>
      <c r="B3" s="3" t="s">
        <v>2</v>
      </c>
      <c r="C3" s="10">
        <v>937</v>
      </c>
      <c r="D3" s="17" t="s">
        <v>14</v>
      </c>
      <c r="F3" t="s">
        <v>43</v>
      </c>
      <c r="G3" t="s">
        <v>27</v>
      </c>
    </row>
    <row r="4" spans="1:7" ht="21">
      <c r="A4" s="21">
        <v>0.3</v>
      </c>
      <c r="B4" s="1" t="s">
        <v>5</v>
      </c>
      <c r="C4" s="10"/>
      <c r="D4" s="11"/>
    </row>
    <row r="5" spans="1:7" ht="18">
      <c r="A5" s="21"/>
      <c r="B5" s="2" t="s">
        <v>6</v>
      </c>
      <c r="C5" s="12">
        <v>10000</v>
      </c>
      <c r="D5" s="18">
        <v>9049</v>
      </c>
      <c r="F5" t="s">
        <v>26</v>
      </c>
      <c r="G5" t="s">
        <v>45</v>
      </c>
    </row>
    <row r="6" spans="1:7" ht="18">
      <c r="A6" s="21"/>
      <c r="B6" s="4" t="s">
        <v>7</v>
      </c>
      <c r="C6" s="10"/>
      <c r="D6" s="17" t="s">
        <v>9</v>
      </c>
      <c r="F6" t="s">
        <v>26</v>
      </c>
      <c r="G6" t="s">
        <v>45</v>
      </c>
    </row>
    <row r="7" spans="1:7" ht="17.399999999999999">
      <c r="A7" s="21"/>
      <c r="B7" s="2" t="s">
        <v>10</v>
      </c>
      <c r="C7" s="10">
        <v>65000</v>
      </c>
      <c r="D7" s="18">
        <v>53108</v>
      </c>
      <c r="F7" t="s">
        <v>26</v>
      </c>
      <c r="G7" t="s">
        <v>45</v>
      </c>
    </row>
    <row r="8" spans="1:7" ht="17.399999999999999">
      <c r="A8" s="21"/>
      <c r="B8" s="2" t="s">
        <v>11</v>
      </c>
      <c r="C8" s="10">
        <v>1200000</v>
      </c>
      <c r="D8" s="19">
        <v>377075</v>
      </c>
      <c r="F8" t="s">
        <v>26</v>
      </c>
      <c r="G8" t="s">
        <v>45</v>
      </c>
    </row>
    <row r="9" spans="1:7" ht="18">
      <c r="A9" s="21"/>
      <c r="B9" s="2" t="s">
        <v>8</v>
      </c>
      <c r="C9" s="10"/>
      <c r="D9" s="20">
        <v>0.05</v>
      </c>
      <c r="F9" t="s">
        <v>46</v>
      </c>
      <c r="G9" t="s">
        <v>27</v>
      </c>
    </row>
    <row r="10" spans="1:7" ht="21">
      <c r="A10" s="21">
        <v>0.1</v>
      </c>
      <c r="B10" s="1" t="s">
        <v>23</v>
      </c>
      <c r="C10" s="10"/>
      <c r="D10" s="11"/>
    </row>
    <row r="11" spans="1:7" ht="18">
      <c r="A11" s="21"/>
      <c r="B11" s="2" t="s">
        <v>24</v>
      </c>
      <c r="C11" s="10">
        <v>1000000</v>
      </c>
      <c r="D11" s="20" t="s">
        <v>48</v>
      </c>
      <c r="F11" t="s">
        <v>43</v>
      </c>
      <c r="G11" t="s">
        <v>27</v>
      </c>
    </row>
    <row r="12" spans="1:7" ht="21">
      <c r="A12" s="21">
        <v>0.3</v>
      </c>
      <c r="B12" s="1" t="s">
        <v>15</v>
      </c>
      <c r="C12" s="10"/>
      <c r="D12" s="11"/>
    </row>
    <row r="13" spans="1:7" ht="18">
      <c r="A13" s="21"/>
      <c r="B13" s="2" t="s">
        <v>16</v>
      </c>
      <c r="C13" s="12">
        <v>15000</v>
      </c>
      <c r="D13" s="11">
        <v>14182</v>
      </c>
      <c r="F13" t="s">
        <v>25</v>
      </c>
      <c r="G13" t="s">
        <v>47</v>
      </c>
    </row>
    <row r="14" spans="1:7" ht="18">
      <c r="A14" s="21"/>
      <c r="B14" s="2" t="s">
        <v>17</v>
      </c>
      <c r="C14" s="10">
        <v>50</v>
      </c>
      <c r="D14" s="11">
        <v>10</v>
      </c>
      <c r="F14" t="s">
        <v>26</v>
      </c>
    </row>
    <row r="15" spans="1:7" ht="17.399999999999999">
      <c r="A15" s="21"/>
      <c r="B15" s="2" t="s">
        <v>18</v>
      </c>
      <c r="C15" s="10"/>
      <c r="D15" s="11"/>
    </row>
    <row r="16" spans="1:7" ht="18">
      <c r="A16" s="21"/>
      <c r="B16" s="4" t="s">
        <v>19</v>
      </c>
      <c r="C16" s="10"/>
      <c r="D16" s="11"/>
      <c r="F16" t="s">
        <v>49</v>
      </c>
      <c r="G16" t="s">
        <v>27</v>
      </c>
    </row>
    <row r="17" spans="1:7" ht="18">
      <c r="A17" s="21"/>
      <c r="B17" s="4" t="s">
        <v>20</v>
      </c>
      <c r="C17" s="10"/>
      <c r="D17" s="11"/>
      <c r="F17" t="s">
        <v>49</v>
      </c>
      <c r="G17" t="s">
        <v>27</v>
      </c>
    </row>
    <row r="18" spans="1:7" ht="18">
      <c r="A18" s="21"/>
      <c r="B18" s="2" t="s">
        <v>21</v>
      </c>
      <c r="C18" s="10">
        <v>2000</v>
      </c>
      <c r="D18" s="13">
        <v>228</v>
      </c>
      <c r="F18" t="s">
        <v>50</v>
      </c>
      <c r="G18" t="s">
        <v>28</v>
      </c>
    </row>
    <row r="19" spans="1:7" ht="18">
      <c r="A19" s="21"/>
      <c r="B19" s="2" t="s">
        <v>22</v>
      </c>
      <c r="C19" s="10">
        <v>7500</v>
      </c>
      <c r="D19" s="15">
        <v>4874</v>
      </c>
      <c r="F19" t="s">
        <v>51</v>
      </c>
      <c r="G19" t="s">
        <v>29</v>
      </c>
    </row>
    <row r="20" spans="1:7" ht="21">
      <c r="A20" s="21">
        <v>0.1</v>
      </c>
      <c r="B20" s="1" t="s">
        <v>30</v>
      </c>
      <c r="C20" s="10"/>
      <c r="D20" s="13"/>
    </row>
    <row r="21" spans="1:7" ht="18">
      <c r="A21" s="21"/>
      <c r="B21" s="2" t="s">
        <v>31</v>
      </c>
      <c r="C21" s="14" t="s">
        <v>34</v>
      </c>
      <c r="D21" s="13"/>
      <c r="F21" t="s">
        <v>52</v>
      </c>
      <c r="G21" t="s">
        <v>27</v>
      </c>
    </row>
    <row r="22" spans="1:7" ht="18">
      <c r="A22" s="21"/>
      <c r="B22" s="2" t="s">
        <v>32</v>
      </c>
      <c r="C22" s="14" t="s">
        <v>35</v>
      </c>
      <c r="D22" s="13"/>
      <c r="F22" t="s">
        <v>53</v>
      </c>
      <c r="G22" t="s">
        <v>27</v>
      </c>
    </row>
    <row r="23" spans="1:7" ht="18">
      <c r="A23" s="21"/>
      <c r="B23" s="2" t="s">
        <v>33</v>
      </c>
      <c r="C23">
        <v>6</v>
      </c>
      <c r="D23" s="7">
        <v>3</v>
      </c>
      <c r="F23" t="s">
        <v>36</v>
      </c>
      <c r="G23" s="8" t="s">
        <v>37</v>
      </c>
    </row>
    <row r="24" spans="1:7">
      <c r="A24" s="16">
        <f>SUM(A1:A23)</f>
        <v>0.99999999999999989</v>
      </c>
      <c r="G24" s="9" t="s">
        <v>38</v>
      </c>
    </row>
    <row r="25" spans="1:7">
      <c r="G25" s="9" t="s">
        <v>39</v>
      </c>
    </row>
    <row r="26" spans="1:7">
      <c r="G26" s="9" t="s">
        <v>40</v>
      </c>
    </row>
    <row r="27" spans="1:7">
      <c r="G27" s="9" t="s">
        <v>41</v>
      </c>
    </row>
    <row r="28" spans="1:7">
      <c r="G28" s="9" t="s">
        <v>42</v>
      </c>
    </row>
  </sheetData>
  <mergeCells count="5">
    <mergeCell ref="A1:A3"/>
    <mergeCell ref="A4:A9"/>
    <mergeCell ref="A10:A11"/>
    <mergeCell ref="A12:A19"/>
    <mergeCell ref="A20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 Klein</dc:creator>
  <cp:lastModifiedBy>Steven Rieger</cp:lastModifiedBy>
  <dcterms:created xsi:type="dcterms:W3CDTF">2026-03-11T19:41:13Z</dcterms:created>
  <dcterms:modified xsi:type="dcterms:W3CDTF">2026-03-13T13:24:45Z</dcterms:modified>
</cp:coreProperties>
</file>